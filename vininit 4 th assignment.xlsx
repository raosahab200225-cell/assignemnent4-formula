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/>
  <c r="D12"/>
  <c r="C59" l="1"/>
  <c r="D50"/>
  <c r="D49"/>
  <c r="D51"/>
  <c r="C42"/>
  <c r="D31"/>
  <c r="D20" a="1"/>
  <c r="D20"/>
  <c r="C20"/>
  <c r="C21"/>
  <c r="C22"/>
  <c r="C23"/>
  <c r="C24"/>
  <c r="D21" a="1"/>
  <c r="D21"/>
  <c r="D22" a="1"/>
  <c r="D22"/>
  <c r="D23" a="1"/>
  <c r="D23"/>
  <c r="D24" a="1"/>
  <c r="D24"/>
  <c r="D13"/>
  <c r="D14"/>
  <c r="D15"/>
  <c r="D66"/>
  <c r="C4" l="1"/>
  <c r="C5"/>
  <c r="C6"/>
  <c r="C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<sst xmlns="http://schemas.openxmlformats.org/spreadsheetml/2006/main" count="89" uniqueCount="74">
  <si>
    <t>Student Name</t>
  </si>
  <si>
    <t>Marks</t>
  </si>
  <si>
    <t>If(B2&gt;40,"Pass","Fail")</t>
  </si>
  <si>
    <t>1- Write a formula to check if the marks in cell B2 are greater than or equal to 40. If yes, return "Pass", otherwise "Fail".</t>
  </si>
  <si>
    <t xml:space="preserve">Riya </t>
  </si>
  <si>
    <t xml:space="preserve">Siya </t>
  </si>
  <si>
    <t xml:space="preserve">Raju </t>
  </si>
  <si>
    <t>Ans</t>
  </si>
  <si>
    <t xml:space="preserve">         equals to IF(B2&gt;=40,"Pass","Fail")</t>
  </si>
  <si>
    <t xml:space="preserve">Rahul </t>
  </si>
  <si>
    <t xml:space="preserve">Ram </t>
  </si>
  <si>
    <t>ANS</t>
  </si>
  <si>
    <t>2- company gives a bonus  if sales are above 40,000 and attendance is greater than or equal to 90%. Write a formula to calculate whether the employee will get a bonus or not .</t>
  </si>
  <si>
    <t>Employee</t>
  </si>
  <si>
    <t xml:space="preserve"> Sales </t>
  </si>
  <si>
    <t>Attendance</t>
  </si>
  <si>
    <t>IF(AND(B12&gt;40000,C12&gt;=90),"bonus","no bonus")</t>
  </si>
  <si>
    <t>Arjun</t>
  </si>
  <si>
    <t>Simran</t>
  </si>
  <si>
    <t>Rohit</t>
  </si>
  <si>
    <t xml:space="preserve">Ans- </t>
  </si>
  <si>
    <t>equals to IF(AND(B12&gt;40000,C12&gt;=90),"bonus","no bonus")</t>
  </si>
  <si>
    <t>Anjali</t>
  </si>
  <si>
    <t>3- Write a nested IF formula:_x000B_                                                                                                                                                                                                                                                                                                  If marks in B2 are ≥ 90 → "A", ≥ 75 →"B" , ≥ 50 →"C" , otherwise  "Fail".</t>
  </si>
  <si>
    <t xml:space="preserve"> Marks</t>
  </si>
  <si>
    <t>IF(B20&gt;=90,"A",IF(B20&gt;=75,"B",IF(B20&gt;=50,"C",IF(B20&lt;50,"Fail"))))</t>
  </si>
  <si>
    <t>IFS(B20&gt;=90,"A",B20&gt;=75,"B",B20&gt;=50,"C",B20&lt;50,"Fail")</t>
  </si>
  <si>
    <t>Raj</t>
  </si>
  <si>
    <t>Rani</t>
  </si>
  <si>
    <t xml:space="preserve"> Neha</t>
  </si>
  <si>
    <t>Sneha</t>
  </si>
  <si>
    <t>Vivek</t>
  </si>
  <si>
    <t>EmpID</t>
  </si>
  <si>
    <t xml:space="preserve"> Name </t>
  </si>
  <si>
    <t>Department</t>
  </si>
  <si>
    <t>4- Find the Department of Employee ID = E103. Also explain which LOOKUP function is used and why?</t>
  </si>
  <si>
    <t>E101</t>
  </si>
  <si>
    <t xml:space="preserve"> Raju </t>
  </si>
  <si>
    <t>IT</t>
  </si>
  <si>
    <t xml:space="preserve"> E104</t>
  </si>
  <si>
    <t xml:space="preserve"> Sejal</t>
  </si>
  <si>
    <t xml:space="preserve"> Sales</t>
  </si>
  <si>
    <t xml:space="preserve"> E102</t>
  </si>
  <si>
    <t xml:space="preserve"> HR</t>
  </si>
  <si>
    <t xml:space="preserve"> E103 </t>
  </si>
  <si>
    <t xml:space="preserve"> Roshni</t>
  </si>
  <si>
    <t>Finance</t>
  </si>
  <si>
    <t>Here we go with VLOOKUP function because  the given data set are arranged in vertical table form , for dealing with  vertically arranged data  the vlookup function is more easier to deal it.</t>
  </si>
  <si>
    <t xml:space="preserve">Sales Amount </t>
  </si>
  <si>
    <t>Commission Rate</t>
  </si>
  <si>
    <t>5- company has set the following commission structure for its sales team:</t>
  </si>
  <si>
    <t>If a salesperson achieves sales of ₹45,000, use the VLOOKUP function to determine the commission rate
applicable</t>
  </si>
  <si>
    <t>Employee Name</t>
  </si>
  <si>
    <t xml:space="preserve"> Leaves Taken </t>
  </si>
  <si>
    <t>Leaves Allowed</t>
  </si>
  <si>
    <t>6- The HR department maintains the following leave records of employees:Bonus or not .</t>
  </si>
  <si>
    <t>Alex</t>
  </si>
  <si>
    <t>Bob</t>
  </si>
  <si>
    <t xml:space="preserve">Anna </t>
  </si>
  <si>
    <t>Write an IF function to check whether an employee has Exceeded their allowed leave balance. If Leaves Taken &gt; Allowed Leaves, display "Exceeded". Otherwise, display "OK".</t>
  </si>
  <si>
    <t xml:space="preserve"> Salary</t>
  </si>
  <si>
    <t>7- Find the salary of EmpID = E105 using INDEX-MATCH Function.</t>
  </si>
  <si>
    <t xml:space="preserve">E104 </t>
  </si>
  <si>
    <t xml:space="preserve"> E102 </t>
  </si>
  <si>
    <t xml:space="preserve"> E105 </t>
  </si>
  <si>
    <t xml:space="preserve"> E106</t>
  </si>
  <si>
    <t xml:space="preserve">Emp ID </t>
  </si>
  <si>
    <t>Salary</t>
  </si>
  <si>
    <t>8- Use the XLOOKUP function to find the Department of the employee with Emp ID = E303.</t>
  </si>
  <si>
    <t xml:space="preserve">E101 </t>
  </si>
  <si>
    <t>HR</t>
  </si>
  <si>
    <t xml:space="preserve">E303 </t>
  </si>
  <si>
    <t xml:space="preserve"> E301</t>
  </si>
  <si>
    <t xml:space="preserve"> Finance 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</si>
</sst>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i/>
      <sz val="11"/>
      <color theme="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/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11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0" fillId="6" borderId="5" xfId="0" applyFill="1" applyBorder="1" applyAlignment="1"/>
    <xf numFmtId="0" fontId="1" fillId="12" borderId="7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7" borderId="10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10" fontId="0" fillId="14" borderId="1" xfId="0" applyNumberForma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65:C69" totalsRowShown="0" headerRowDxfId="5" headerRowBorderDxfId="4" tableBorderDxfId="3" totalsRowBorderDxfId="2">
  <tableColumns count="2">
    <tableColumn id="1" name="Emp ID " dataDxfId="1"/>
    <tableColumn id="2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zoomScale="70" zoomScaleNormal="70" workbookViewId="0">
      <selection activeCell="A19" sqref="A19:D19"/>
    </sheetView>
  </sheetViews>
  <sheetFormatPr defaultColWidth="9.125" defaultRowHeight="14.25"/>
  <cols>
    <col min="1" max="1" width="14.75" style="1" bestFit="1" customWidth="1"/>
    <col min="2" max="2" width="17.875" style="1" bestFit="1" customWidth="1"/>
    <col min="3" max="3" width="18.375" style="1" bestFit="1" customWidth="1"/>
    <col min="4" max="4" width="45.125" style="1" bestFit="1" customWidth="1"/>
    <col min="5" max="5" width="9.125" style="1"/>
    <col min="6" max="6" width="4.25" style="1" bestFit="1" customWidth="1"/>
    <col min="7" max="8" width="9.125" style="1"/>
    <col min="9" max="9" width="10.75" style="1" customWidth="1"/>
    <col min="10" max="16384" width="9.125" style="1"/>
  </cols>
  <sheetData>
    <row r="1" spans="1:13">
      <c r="A1" s="63" t="s">
        <v>0</v>
      </c>
      <c r="B1" s="63" t="s">
        <v>1</v>
      </c>
      <c r="C1" s="64" t="s">
        <v>2</v>
      </c>
      <c r="D1" s="64"/>
      <c r="E1" s="64"/>
      <c r="F1" s="42" t="s">
        <v>3</v>
      </c>
      <c r="G1" s="42"/>
      <c r="H1" s="42"/>
      <c r="I1" s="42"/>
      <c r="J1" s="42"/>
      <c r="K1" s="42"/>
      <c r="L1" s="42"/>
      <c r="M1" s="42"/>
    </row>
    <row r="2" spans="1:13" ht="15" customHeight="1">
      <c r="A2" s="65"/>
      <c r="B2" s="65"/>
      <c r="C2" s="64"/>
      <c r="D2" s="64"/>
      <c r="E2" s="64"/>
      <c r="F2" s="42"/>
      <c r="G2" s="42"/>
      <c r="H2" s="42"/>
      <c r="I2" s="42"/>
      <c r="J2" s="42"/>
      <c r="K2" s="42"/>
      <c r="L2" s="42"/>
      <c r="M2" s="42"/>
    </row>
    <row r="3" spans="1:13">
      <c r="A3" s="2" t="s">
        <v>4</v>
      </c>
      <c r="B3" s="2">
        <v>45</v>
      </c>
      <c r="C3" s="39" t="str">
        <f>IF(B3&gt;C9=40,"Pass","fail")</f>
        <v>fail</v>
      </c>
      <c r="D3" s="40"/>
      <c r="E3" s="41"/>
      <c r="F3" s="42"/>
      <c r="G3" s="42"/>
      <c r="H3" s="42"/>
      <c r="I3" s="42"/>
      <c r="J3" s="42"/>
      <c r="K3" s="42"/>
      <c r="L3" s="42"/>
      <c r="M3" s="42"/>
    </row>
    <row r="4" spans="1:13">
      <c r="A4" s="3" t="s">
        <v>5</v>
      </c>
      <c r="B4" s="3">
        <v>72</v>
      </c>
      <c r="C4" s="39" t="str">
        <f t="shared" ref="C4:C7" si="0">IF(B4&gt;=40,"Pass","fail")</f>
        <v>Pass</v>
      </c>
      <c r="D4" s="40"/>
      <c r="E4" s="41"/>
      <c r="F4" s="42"/>
      <c r="G4" s="42"/>
      <c r="H4" s="42"/>
      <c r="I4" s="42"/>
      <c r="J4" s="42"/>
      <c r="K4" s="42"/>
      <c r="L4" s="42"/>
      <c r="M4" s="42"/>
    </row>
    <row r="5" spans="1:13">
      <c r="A5" s="3" t="s">
        <v>6</v>
      </c>
      <c r="B5" s="3">
        <v>55</v>
      </c>
      <c r="C5" s="39" t="str">
        <f t="shared" si="0"/>
        <v>Pass</v>
      </c>
      <c r="D5" s="40"/>
      <c r="E5" s="41"/>
      <c r="F5" s="35" t="s">
        <v>7</v>
      </c>
      <c r="G5" s="35"/>
      <c r="H5" s="35"/>
      <c r="I5" s="43" t="s">
        <v>8</v>
      </c>
      <c r="J5" s="43"/>
      <c r="K5" s="43"/>
      <c r="L5" s="43"/>
      <c r="M5" s="43"/>
    </row>
    <row r="6" spans="1:13">
      <c r="A6" s="3" t="s">
        <v>9</v>
      </c>
      <c r="B6" s="3">
        <v>80</v>
      </c>
      <c r="C6" s="39" t="str">
        <f t="shared" si="0"/>
        <v>Pass</v>
      </c>
      <c r="D6" s="40"/>
      <c r="E6" s="41"/>
      <c r="F6" s="35"/>
      <c r="G6" s="35"/>
      <c r="H6" s="35"/>
      <c r="I6" s="43"/>
      <c r="J6" s="43"/>
      <c r="K6" s="43"/>
      <c r="L6" s="43"/>
      <c r="M6" s="43"/>
    </row>
    <row r="7" spans="1:13">
      <c r="A7" s="3" t="s">
        <v>10</v>
      </c>
      <c r="B7" s="3">
        <v>30</v>
      </c>
      <c r="C7" s="39" t="str">
        <f t="shared" si="0"/>
        <v>fail</v>
      </c>
      <c r="D7" s="40"/>
      <c r="E7" s="41"/>
      <c r="F7" s="35"/>
      <c r="G7" s="35"/>
      <c r="H7" s="35"/>
      <c r="I7" s="43"/>
      <c r="J7" s="43"/>
      <c r="K7" s="43"/>
      <c r="L7" s="43"/>
      <c r="M7" s="43"/>
    </row>
    <row r="9" spans="1:13" ht="15" customHeight="1">
      <c r="D9" s="9" t="s">
        <v>11</v>
      </c>
      <c r="E9" s="51" t="s">
        <v>12</v>
      </c>
      <c r="F9" s="52"/>
      <c r="G9" s="52"/>
      <c r="H9" s="52"/>
      <c r="I9" s="52"/>
      <c r="J9" s="52"/>
      <c r="K9" s="52"/>
      <c r="L9" s="52"/>
      <c r="M9" s="53"/>
    </row>
    <row r="10" spans="1:13" ht="15" customHeight="1">
      <c r="A10" s="66" t="s">
        <v>13</v>
      </c>
      <c r="B10" s="67" t="s">
        <v>14</v>
      </c>
      <c r="C10" s="66" t="s">
        <v>15</v>
      </c>
      <c r="D10" s="68" t="s">
        <v>16</v>
      </c>
      <c r="E10" s="54"/>
      <c r="F10" s="55"/>
      <c r="G10" s="55"/>
      <c r="H10" s="55"/>
      <c r="I10" s="55"/>
      <c r="J10" s="55"/>
      <c r="K10" s="55"/>
      <c r="L10" s="55"/>
      <c r="M10" s="56"/>
    </row>
    <row r="11" spans="1:13">
      <c r="A11" s="66"/>
      <c r="B11" s="67"/>
      <c r="C11" s="66"/>
      <c r="D11" s="69"/>
      <c r="E11" s="54"/>
      <c r="F11" s="55"/>
      <c r="G11" s="55"/>
      <c r="H11" s="55"/>
      <c r="I11" s="55"/>
      <c r="J11" s="55"/>
      <c r="K11" s="55"/>
      <c r="L11" s="55"/>
      <c r="M11" s="56"/>
    </row>
    <row r="12" spans="1:13">
      <c r="A12" s="3" t="s">
        <v>17</v>
      </c>
      <c r="B12" s="3">
        <v>55000</v>
      </c>
      <c r="C12" s="3">
        <v>95</v>
      </c>
      <c r="D12" s="23" t="str">
        <f>IF(AND(B12&gt;40000,C12&gt;=90),"bonus","no bonus")</f>
        <v>bonus</v>
      </c>
      <c r="E12" s="54"/>
      <c r="F12" s="55"/>
      <c r="G12" s="55"/>
      <c r="H12" s="55"/>
      <c r="I12" s="55"/>
      <c r="J12" s="55"/>
      <c r="K12" s="55"/>
      <c r="L12" s="55"/>
      <c r="M12" s="56"/>
    </row>
    <row r="13" spans="1:13">
      <c r="A13" s="3" t="s">
        <v>18</v>
      </c>
      <c r="B13" s="3">
        <v>65000</v>
      </c>
      <c r="C13" s="3">
        <v>85</v>
      </c>
      <c r="D13" s="23" t="str">
        <f>IF(AND(B13&gt;40000,C13&gt;=90),"bonus","no bonus")</f>
        <v>no bonus</v>
      </c>
      <c r="E13" s="57"/>
      <c r="F13" s="58"/>
      <c r="G13" s="58"/>
      <c r="H13" s="58"/>
      <c r="I13" s="58"/>
      <c r="J13" s="58"/>
      <c r="K13" s="58"/>
      <c r="L13" s="58"/>
      <c r="M13" s="59"/>
    </row>
    <row r="14" spans="1:13">
      <c r="A14" s="3" t="s">
        <v>19</v>
      </c>
      <c r="B14" s="3">
        <v>30000</v>
      </c>
      <c r="C14" s="3">
        <v>90</v>
      </c>
      <c r="D14" s="4" t="str">
        <f>IF(AND(B14&gt;40000,C14&gt;=90),"bonus","no bonus")</f>
        <v>no bonus</v>
      </c>
      <c r="E14" s="35" t="s">
        <v>20</v>
      </c>
      <c r="F14" s="35"/>
      <c r="G14" s="35"/>
      <c r="H14" s="47" t="s">
        <v>21</v>
      </c>
      <c r="I14" s="47"/>
      <c r="J14" s="47"/>
      <c r="K14" s="47"/>
      <c r="L14" s="47"/>
      <c r="M14" s="47"/>
    </row>
    <row r="15" spans="1:13">
      <c r="A15" s="3" t="s">
        <v>22</v>
      </c>
      <c r="B15" s="3">
        <v>25000</v>
      </c>
      <c r="C15" s="3">
        <v>65</v>
      </c>
      <c r="D15" s="4" t="str">
        <f>IF(AND(B15&gt;40000,C15&gt;=90),"bonus","no bonus")</f>
        <v>no bonus</v>
      </c>
      <c r="E15" s="35"/>
      <c r="F15" s="35"/>
      <c r="G15" s="35"/>
      <c r="H15" s="47"/>
      <c r="I15" s="47"/>
      <c r="J15" s="47"/>
      <c r="K15" s="47"/>
      <c r="L15" s="47"/>
      <c r="M15" s="47"/>
    </row>
    <row r="18" spans="1:13" ht="15">
      <c r="C18" s="32" t="s">
        <v>7</v>
      </c>
      <c r="D18" s="32" t="s">
        <v>7</v>
      </c>
      <c r="E18" s="50" t="s">
        <v>23</v>
      </c>
      <c r="F18" s="50"/>
      <c r="G18" s="50"/>
      <c r="H18" s="50"/>
      <c r="I18" s="50"/>
      <c r="J18" s="50"/>
      <c r="K18" s="50"/>
      <c r="L18" s="50"/>
      <c r="M18" s="50"/>
    </row>
    <row r="19" spans="1:13" ht="90" customHeight="1">
      <c r="A19" s="70" t="s">
        <v>0</v>
      </c>
      <c r="B19" s="70" t="s">
        <v>24</v>
      </c>
      <c r="C19" s="71" t="s">
        <v>25</v>
      </c>
      <c r="D19" s="71" t="s">
        <v>26</v>
      </c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15" customHeight="1">
      <c r="A20" s="5" t="s">
        <v>27</v>
      </c>
      <c r="B20" s="5">
        <v>85</v>
      </c>
      <c r="C20" s="6" t="str">
        <f>IF(B20&gt;=90,"A",IF(B20&gt;=75,"B",IF(B20&gt;=50,"C",IF(B20&lt;50,"Fail"))))</f>
        <v>B</v>
      </c>
      <c r="D20" s="6" t="str" cm="1">
        <f t="array" ref="D20">_xlfn.IFS(B20&gt;=90,"A",B20&gt;=75,"B",B20&gt;=50,"C",B20&lt;50,"Fail")</f>
        <v>B</v>
      </c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5">
      <c r="A21" s="5" t="s">
        <v>28</v>
      </c>
      <c r="B21" s="5">
        <v>92</v>
      </c>
      <c r="C21" s="6" t="str">
        <f t="shared" ref="C21:C24" si="1">IF(B21&gt;=90,"A",IF(B21&gt;=75,"B",IF(B21&gt;=50,"C",IF(B21&lt;50,"Fail"))))</f>
        <v>A</v>
      </c>
      <c r="D21" s="6" t="str" cm="1">
        <f t="array" ref="D21">_xlfn.IFS(B21&gt;=90,"A",B21&gt;=75,"B",B21&gt;=50,"C",B21&lt;50,"Fail")</f>
        <v>A</v>
      </c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5">
      <c r="A22" s="5" t="s">
        <v>29</v>
      </c>
      <c r="B22" s="5">
        <v>96</v>
      </c>
      <c r="C22" s="6" t="str">
        <f t="shared" si="1"/>
        <v>A</v>
      </c>
      <c r="D22" s="6" t="str" cm="1">
        <f t="array" ref="D22">_xlfn.IFS(B22&gt;=90,"A",B22&gt;=75,"B",B22&gt;=50,"C",B22&lt;50,"Fail")</f>
        <v>A</v>
      </c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15">
      <c r="A23" s="5" t="s">
        <v>30</v>
      </c>
      <c r="B23" s="5">
        <v>75</v>
      </c>
      <c r="C23" s="6" t="str">
        <f t="shared" si="1"/>
        <v>B</v>
      </c>
      <c r="D23" s="6" t="str" cm="1">
        <f t="array" ref="D23">_xlfn.IFS(B23&gt;=90,"A",B23&gt;=75,"B",B23&gt;=50,"C",B23&lt;50,"Fail")</f>
        <v>B</v>
      </c>
      <c r="E23" s="35" t="s">
        <v>20</v>
      </c>
      <c r="F23" s="35"/>
      <c r="G23" s="35"/>
      <c r="H23" s="34" t="s">
        <v>25</v>
      </c>
      <c r="I23" s="34"/>
      <c r="J23" s="34"/>
      <c r="K23" s="34"/>
      <c r="L23" s="34"/>
      <c r="M23" s="34"/>
    </row>
    <row r="24" spans="1:13" ht="15">
      <c r="A24" s="5" t="s">
        <v>31</v>
      </c>
      <c r="B24" s="5">
        <v>57</v>
      </c>
      <c r="C24" s="6" t="str">
        <f t="shared" si="1"/>
        <v>C</v>
      </c>
      <c r="D24" s="6" t="str" cm="1">
        <f t="array" ref="D24">_xlfn.IFS(B24&gt;=90,"A",B24&gt;=75,"B",B24&gt;=50,"C",B24&lt;50,"Fail")</f>
        <v>C</v>
      </c>
      <c r="E24" s="35"/>
      <c r="F24" s="35"/>
      <c r="G24" s="35"/>
      <c r="H24" s="34"/>
      <c r="I24" s="34"/>
      <c r="J24" s="34"/>
      <c r="K24" s="34"/>
      <c r="L24" s="34"/>
      <c r="M24" s="34"/>
    </row>
    <row r="30" spans="1:13" ht="15">
      <c r="A30" s="7" t="s">
        <v>32</v>
      </c>
      <c r="B30" s="7" t="s">
        <v>33</v>
      </c>
      <c r="C30" s="7" t="s">
        <v>34</v>
      </c>
      <c r="D30" s="22" t="s">
        <v>7</v>
      </c>
      <c r="E30" s="36" t="s">
        <v>35</v>
      </c>
      <c r="F30" s="36"/>
      <c r="G30" s="36"/>
      <c r="H30" s="36"/>
      <c r="I30" s="36"/>
      <c r="J30" s="36"/>
      <c r="K30" s="36"/>
      <c r="L30" s="36"/>
      <c r="M30" s="36"/>
    </row>
    <row r="31" spans="1:13" ht="15">
      <c r="A31" s="5" t="s">
        <v>36</v>
      </c>
      <c r="B31" s="5" t="s">
        <v>37</v>
      </c>
      <c r="C31" s="5" t="s">
        <v>38</v>
      </c>
      <c r="D31" s="60" t="str">
        <f>VLOOKUP(A34,A30:C34,3,FALSE)</f>
        <v>Finance</v>
      </c>
      <c r="E31" s="36"/>
      <c r="F31" s="36"/>
      <c r="G31" s="36"/>
      <c r="H31" s="36"/>
      <c r="I31" s="36"/>
      <c r="J31" s="36"/>
      <c r="K31" s="36"/>
      <c r="L31" s="36"/>
      <c r="M31" s="36"/>
    </row>
    <row r="32" spans="1:13" ht="15">
      <c r="A32" s="5" t="s">
        <v>39</v>
      </c>
      <c r="B32" s="5" t="s">
        <v>40</v>
      </c>
      <c r="C32" s="5" t="s">
        <v>41</v>
      </c>
      <c r="D32" s="61"/>
      <c r="E32" s="36"/>
      <c r="F32" s="36"/>
      <c r="G32" s="36"/>
      <c r="H32" s="36"/>
      <c r="I32" s="36"/>
      <c r="J32" s="36"/>
      <c r="K32" s="36"/>
      <c r="L32" s="36"/>
      <c r="M32" s="36"/>
    </row>
    <row r="33" spans="1:13" ht="15">
      <c r="A33" s="5" t="s">
        <v>42</v>
      </c>
      <c r="B33" s="5" t="s">
        <v>4</v>
      </c>
      <c r="C33" s="5" t="s">
        <v>43</v>
      </c>
      <c r="D33" s="61"/>
      <c r="E33" s="36"/>
      <c r="F33" s="36"/>
      <c r="G33" s="36"/>
      <c r="H33" s="36"/>
      <c r="I33" s="36"/>
      <c r="J33" s="36"/>
      <c r="K33" s="36"/>
      <c r="L33" s="36"/>
      <c r="M33" s="36"/>
    </row>
    <row r="34" spans="1:13" ht="15" customHeight="1">
      <c r="A34" s="5" t="s">
        <v>44</v>
      </c>
      <c r="B34" s="5" t="s">
        <v>45</v>
      </c>
      <c r="C34" s="5" t="s">
        <v>46</v>
      </c>
      <c r="D34" s="61"/>
      <c r="E34" s="38" t="s">
        <v>20</v>
      </c>
      <c r="F34" s="38"/>
      <c r="G34" s="37" t="s">
        <v>47</v>
      </c>
      <c r="H34" s="37"/>
      <c r="I34" s="37"/>
      <c r="J34" s="37"/>
      <c r="K34" s="37"/>
      <c r="L34" s="37"/>
      <c r="M34" s="37"/>
    </row>
    <row r="35" spans="1:13" ht="15">
      <c r="D35" s="8"/>
      <c r="E35" s="38"/>
      <c r="F35" s="38"/>
      <c r="G35" s="37"/>
      <c r="H35" s="37"/>
      <c r="I35" s="37"/>
      <c r="J35" s="37"/>
      <c r="K35" s="37"/>
      <c r="L35" s="37"/>
      <c r="M35" s="37"/>
    </row>
    <row r="36" spans="1:13">
      <c r="E36" s="38"/>
      <c r="F36" s="38"/>
      <c r="G36" s="37"/>
      <c r="H36" s="37"/>
      <c r="I36" s="37"/>
      <c r="J36" s="37"/>
      <c r="K36" s="37"/>
      <c r="L36" s="37"/>
      <c r="M36" s="37"/>
    </row>
    <row r="37" spans="1:13">
      <c r="E37" s="38"/>
      <c r="F37" s="38"/>
      <c r="G37" s="37"/>
      <c r="H37" s="37"/>
      <c r="I37" s="37"/>
      <c r="J37" s="37"/>
      <c r="K37" s="37"/>
      <c r="L37" s="37"/>
      <c r="M37" s="37"/>
    </row>
    <row r="41" spans="1:13" ht="15" customHeight="1">
      <c r="A41" s="10" t="s">
        <v>48</v>
      </c>
      <c r="B41" s="12" t="s">
        <v>49</v>
      </c>
      <c r="C41" s="14" t="s">
        <v>7</v>
      </c>
      <c r="D41" s="50" t="s">
        <v>50</v>
      </c>
      <c r="E41" s="50"/>
      <c r="F41" s="50"/>
      <c r="G41" s="50"/>
      <c r="H41" s="50"/>
      <c r="I41" s="50"/>
      <c r="J41" s="50"/>
      <c r="K41" s="50"/>
      <c r="L41" s="50"/>
    </row>
    <row r="42" spans="1:13">
      <c r="A42" s="11">
        <v>0</v>
      </c>
      <c r="B42" s="13">
        <v>0.05</v>
      </c>
      <c r="C42" s="62">
        <f>VLOOKUP(45000,A41:B44,2,TRUE)</f>
        <v>0.1</v>
      </c>
      <c r="D42" s="50"/>
      <c r="E42" s="50"/>
      <c r="F42" s="50"/>
      <c r="G42" s="50"/>
      <c r="H42" s="50"/>
      <c r="I42" s="50"/>
      <c r="J42" s="50"/>
      <c r="K42" s="50"/>
      <c r="L42" s="50"/>
    </row>
    <row r="43" spans="1:13">
      <c r="A43" s="11">
        <v>20000</v>
      </c>
      <c r="B43" s="13">
        <v>0.1</v>
      </c>
      <c r="C43" s="62"/>
      <c r="D43" s="50"/>
      <c r="E43" s="50"/>
      <c r="F43" s="50"/>
      <c r="G43" s="50"/>
      <c r="H43" s="50"/>
      <c r="I43" s="50"/>
      <c r="J43" s="50"/>
      <c r="K43" s="50"/>
      <c r="L43" s="50"/>
    </row>
    <row r="44" spans="1:13" ht="15" customHeight="1">
      <c r="A44" s="11">
        <v>50000</v>
      </c>
      <c r="B44" s="13">
        <v>0.15</v>
      </c>
      <c r="C44" s="62"/>
      <c r="D44" s="33" t="s">
        <v>51</v>
      </c>
      <c r="E44" s="33"/>
      <c r="F44" s="33"/>
      <c r="G44" s="33"/>
      <c r="H44" s="33"/>
      <c r="I44" s="33"/>
      <c r="J44" s="33"/>
      <c r="K44" s="33"/>
      <c r="L44" s="33"/>
    </row>
    <row r="45" spans="1:13">
      <c r="A45" s="11">
        <v>80000</v>
      </c>
      <c r="B45" s="13">
        <v>0.2</v>
      </c>
      <c r="C45" s="62"/>
      <c r="D45" s="33"/>
      <c r="E45" s="33"/>
      <c r="F45" s="33"/>
      <c r="G45" s="33"/>
      <c r="H45" s="33"/>
      <c r="I45" s="33"/>
      <c r="J45" s="33"/>
      <c r="K45" s="33"/>
      <c r="L45" s="33"/>
    </row>
    <row r="48" spans="1:13" ht="15" customHeight="1">
      <c r="A48" s="7" t="s">
        <v>52</v>
      </c>
      <c r="B48" s="7" t="s">
        <v>53</v>
      </c>
      <c r="C48" s="7" t="s">
        <v>54</v>
      </c>
      <c r="D48" s="17" t="s">
        <v>7</v>
      </c>
      <c r="E48" s="36" t="s">
        <v>55</v>
      </c>
      <c r="F48" s="36"/>
      <c r="G48" s="36"/>
      <c r="H48" s="36"/>
      <c r="I48" s="36"/>
      <c r="J48" s="36"/>
      <c r="K48" s="36"/>
      <c r="L48" s="36"/>
    </row>
    <row r="49" spans="1:12" ht="21" customHeight="1">
      <c r="A49" s="15" t="s">
        <v>56</v>
      </c>
      <c r="B49" s="5">
        <v>10</v>
      </c>
      <c r="C49" s="5">
        <v>12</v>
      </c>
      <c r="D49" s="18" t="str">
        <f>IF(B49&gt;C49,"Exceeded","OK")</f>
        <v>OK</v>
      </c>
      <c r="E49" s="36"/>
      <c r="F49" s="36"/>
      <c r="G49" s="36"/>
      <c r="H49" s="36"/>
      <c r="I49" s="36"/>
      <c r="J49" s="36"/>
      <c r="K49" s="36"/>
      <c r="L49" s="36"/>
    </row>
    <row r="50" spans="1:12" ht="15">
      <c r="A50" s="5" t="s">
        <v>57</v>
      </c>
      <c r="B50" s="5">
        <v>10</v>
      </c>
      <c r="C50" s="5">
        <v>15</v>
      </c>
      <c r="D50" s="18" t="str">
        <f>IF(B50&gt;C50,"Exceeded","OK")</f>
        <v>OK</v>
      </c>
      <c r="E50" s="36"/>
      <c r="F50" s="36"/>
      <c r="G50" s="36"/>
      <c r="H50" s="36"/>
      <c r="I50" s="36"/>
      <c r="J50" s="36"/>
      <c r="K50" s="36"/>
      <c r="L50" s="36"/>
    </row>
    <row r="51" spans="1:12" ht="15" customHeight="1">
      <c r="A51" s="5" t="s">
        <v>58</v>
      </c>
      <c r="B51" s="5">
        <v>8</v>
      </c>
      <c r="C51" s="5">
        <v>12</v>
      </c>
      <c r="D51" s="21" t="str">
        <f t="shared" ref="D51" si="2">IF(B51&gt;C51,"Exceeded","OK")</f>
        <v>OK</v>
      </c>
      <c r="E51" s="36" t="s">
        <v>59</v>
      </c>
      <c r="F51" s="36"/>
      <c r="G51" s="36"/>
      <c r="H51" s="36"/>
      <c r="I51" s="36"/>
      <c r="J51" s="36"/>
      <c r="K51" s="36"/>
      <c r="L51" s="36"/>
    </row>
    <row r="52" spans="1:12" ht="15">
      <c r="C52" s="16"/>
      <c r="D52" s="8"/>
      <c r="E52" s="36"/>
      <c r="F52" s="36"/>
      <c r="G52" s="36"/>
      <c r="H52" s="36"/>
      <c r="I52" s="36"/>
      <c r="J52" s="36"/>
      <c r="K52" s="36"/>
      <c r="L52" s="36"/>
    </row>
    <row r="53" spans="1:12" ht="15">
      <c r="C53" s="16"/>
      <c r="D53" s="8"/>
      <c r="E53" s="36"/>
      <c r="F53" s="36"/>
      <c r="G53" s="36"/>
      <c r="H53" s="36"/>
      <c r="I53" s="36"/>
      <c r="J53" s="36"/>
      <c r="K53" s="36"/>
      <c r="L53" s="36"/>
    </row>
    <row r="58" spans="1:12" ht="15" customHeight="1">
      <c r="A58" s="20" t="s">
        <v>32</v>
      </c>
      <c r="B58" s="20" t="s">
        <v>60</v>
      </c>
      <c r="C58" s="32" t="s">
        <v>7</v>
      </c>
      <c r="D58" s="49" t="s">
        <v>61</v>
      </c>
      <c r="E58" s="49"/>
      <c r="F58" s="49"/>
      <c r="G58" s="49"/>
      <c r="H58" s="49"/>
      <c r="I58" s="49"/>
    </row>
    <row r="59" spans="1:12" ht="15" customHeight="1">
      <c r="A59" s="5" t="s">
        <v>62</v>
      </c>
      <c r="B59" s="5">
        <v>55000</v>
      </c>
      <c r="C59" s="48">
        <f>INDEX(A58:B62,4,2)</f>
        <v>72000</v>
      </c>
      <c r="D59" s="49"/>
      <c r="E59" s="49"/>
      <c r="F59" s="49"/>
      <c r="G59" s="49"/>
      <c r="H59" s="49"/>
      <c r="I59" s="49"/>
    </row>
    <row r="60" spans="1:12" ht="15">
      <c r="A60" s="5" t="s">
        <v>63</v>
      </c>
      <c r="B60" s="5">
        <v>41000</v>
      </c>
      <c r="C60" s="48"/>
      <c r="D60" s="49"/>
      <c r="E60" s="49"/>
      <c r="F60" s="49"/>
      <c r="G60" s="49"/>
      <c r="H60" s="49"/>
      <c r="I60" s="49"/>
    </row>
    <row r="61" spans="1:12" ht="15">
      <c r="A61" s="5" t="s">
        <v>64</v>
      </c>
      <c r="B61" s="5">
        <v>72000</v>
      </c>
      <c r="C61" s="48"/>
      <c r="D61" s="49"/>
      <c r="E61" s="49"/>
      <c r="F61" s="49"/>
      <c r="G61" s="49"/>
      <c r="H61" s="49"/>
      <c r="I61" s="49"/>
    </row>
    <row r="62" spans="1:12" ht="15">
      <c r="A62" s="5" t="s">
        <v>65</v>
      </c>
      <c r="B62" s="5">
        <v>62000</v>
      </c>
      <c r="C62" s="48"/>
      <c r="D62" s="49"/>
      <c r="E62" s="49"/>
      <c r="F62" s="49"/>
      <c r="G62" s="49"/>
      <c r="H62" s="49"/>
      <c r="I62" s="49"/>
    </row>
    <row r="63" spans="1:12" ht="15">
      <c r="A63" s="19"/>
      <c r="B63" s="19"/>
    </row>
    <row r="65" spans="2:8" ht="30">
      <c r="B65" s="30" t="s">
        <v>66</v>
      </c>
      <c r="C65" s="29" t="s">
        <v>67</v>
      </c>
      <c r="D65" s="31" t="s">
        <v>68</v>
      </c>
    </row>
    <row r="66" spans="2:8" ht="15" customHeight="1">
      <c r="B66" s="24" t="s">
        <v>69</v>
      </c>
      <c r="C66" s="25" t="s">
        <v>70</v>
      </c>
      <c r="D66" s="44" t="e">
        <f ca="1">_xlfn.XLOOKUP(B67,Table2[[Emp ID ]],Table2[Salary],,,)</f>
        <v>#NAME?</v>
      </c>
      <c r="E66" s="28"/>
      <c r="F66" s="28"/>
      <c r="G66" s="28"/>
      <c r="H66" s="28"/>
    </row>
    <row r="67" spans="2:8" ht="15">
      <c r="B67" s="24" t="s">
        <v>71</v>
      </c>
      <c r="C67" s="25" t="s">
        <v>38</v>
      </c>
      <c r="D67" s="45"/>
      <c r="E67" s="28"/>
      <c r="F67" s="28"/>
      <c r="G67" s="28"/>
      <c r="H67" s="28"/>
    </row>
    <row r="68" spans="2:8" ht="15">
      <c r="B68" s="24" t="s">
        <v>65</v>
      </c>
      <c r="C68" s="25" t="s">
        <v>41</v>
      </c>
      <c r="D68" s="45"/>
    </row>
    <row r="69" spans="2:8" ht="15">
      <c r="B69" s="26" t="s">
        <v>72</v>
      </c>
      <c r="C69" s="27" t="s">
        <v>73</v>
      </c>
      <c r="D69" s="46"/>
    </row>
  </sheetData>
  <mergeCells count="33">
    <mergeCell ref="D66:D69"/>
    <mergeCell ref="A10:A11"/>
    <mergeCell ref="B10:B11"/>
    <mergeCell ref="H14:M15"/>
    <mergeCell ref="E14:G15"/>
    <mergeCell ref="D10:D11"/>
    <mergeCell ref="C10:C11"/>
    <mergeCell ref="C59:C62"/>
    <mergeCell ref="D58:I62"/>
    <mergeCell ref="E18:M22"/>
    <mergeCell ref="E9:M13"/>
    <mergeCell ref="E48:L50"/>
    <mergeCell ref="E51:L53"/>
    <mergeCell ref="D31:D34"/>
    <mergeCell ref="C42:C45"/>
    <mergeCell ref="D41:L43"/>
    <mergeCell ref="A1:A2"/>
    <mergeCell ref="B1:B2"/>
    <mergeCell ref="C3:E3"/>
    <mergeCell ref="C4:E4"/>
    <mergeCell ref="C5:E5"/>
    <mergeCell ref="C6:E6"/>
    <mergeCell ref="C7:E7"/>
    <mergeCell ref="C1:E2"/>
    <mergeCell ref="F1:M4"/>
    <mergeCell ref="F5:H7"/>
    <mergeCell ref="I5:M7"/>
    <mergeCell ref="D44:L45"/>
    <mergeCell ref="H23:M24"/>
    <mergeCell ref="E23:G24"/>
    <mergeCell ref="E30:M33"/>
    <mergeCell ref="G34:M37"/>
    <mergeCell ref="E34:F3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yadav</dc:creator>
  <cp:lastModifiedBy>kavar pal</cp:lastModifiedBy>
  <cp:revision/>
  <dcterms:created xsi:type="dcterms:W3CDTF">2025-11-23T15:10:05Z</dcterms:created>
  <dcterms:modified xsi:type="dcterms:W3CDTF">2025-11-25T04:58:33Z</dcterms:modified>
</cp:coreProperties>
</file>